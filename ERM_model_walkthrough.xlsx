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s/Documents/KnowledgeBase/EquityReleaseMortgages/"/>
    </mc:Choice>
  </mc:AlternateContent>
  <xr:revisionPtr revIDLastSave="0" documentId="8_{53E7B54B-3F34-5346-A00B-FFB90054EAF0}" xr6:coauthVersionLast="47" xr6:coauthVersionMax="47" xr10:uidLastSave="{00000000-0000-0000-0000-000000000000}"/>
  <bookViews>
    <workbookView xWindow="0" yWindow="740" windowWidth="34560" windowHeight="21600" xr2:uid="{0733CE88-6EFD-B94B-BA0D-00926B6E461A}"/>
  </bookViews>
  <sheets>
    <sheet name="profit_play" sheetId="1" r:id="rId1"/>
  </sheets>
  <externalReferences>
    <externalReference r:id="rId2"/>
  </externalReferences>
  <definedNames>
    <definedName name="CoC" localSheetId="0">profit_play!$C$12</definedName>
    <definedName name="fcost" localSheetId="0">profit_play!$C$10</definedName>
    <definedName name="hdrift" localSheetId="0">profit_play!$C$17</definedName>
    <definedName name="hpi">profit_play!$C$4</definedName>
    <definedName name="hpvol" localSheetId="0">profit_play!$C$7</definedName>
    <definedName name="l">profit_play!$C$6</definedName>
    <definedName name="lambda">profit_play!$C$15</definedName>
    <definedName name="loan" localSheetId="0">profit_play!$C$11</definedName>
    <definedName name="mu" localSheetId="0">profit_play!$C$38</definedName>
    <definedName name="q">profit_play!$C$5</definedName>
    <definedName name="riskfree" localSheetId="0">profit_play!$C$13</definedName>
    <definedName name="S_0" localSheetId="0">profit_play!$C$8</definedName>
    <definedName name="scen_no">[1]profit_play_checks!$C$4</definedName>
    <definedName name="SCR_pc">profit_play!$C$14</definedName>
    <definedName name="sigma" localSheetId="0">profit_play!$C$39</definedName>
    <definedName name="start_cell">[1]erm_test_cases!$A$3</definedName>
    <definedName name="time" localSheetId="0">profit_play!$C$9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C39" i="1"/>
  <c r="C37" i="1"/>
  <c r="C38" i="1" s="1"/>
  <c r="C33" i="1"/>
  <c r="C30" i="1"/>
  <c r="C26" i="1"/>
  <c r="C25" i="1"/>
  <c r="C23" i="1"/>
  <c r="C20" i="1"/>
  <c r="C24" i="1" s="1"/>
  <c r="C27" i="1" s="1"/>
  <c r="C28" i="1" s="1"/>
  <c r="C17" i="1"/>
  <c r="C41" i="1" l="1"/>
  <c r="C42" i="1"/>
  <c r="C43" i="1" s="1"/>
  <c r="C32" i="1"/>
  <c r="C34" i="1" s="1"/>
  <c r="C31" i="1"/>
  <c r="C45" i="1" l="1"/>
  <c r="C58" i="1" l="1"/>
  <c r="C46" i="1"/>
  <c r="C51" i="1" s="1"/>
  <c r="D51" i="1" l="1"/>
  <c r="C53" i="1"/>
  <c r="C55" i="1" l="1"/>
  <c r="C57" i="1" s="1"/>
  <c r="D53" i="1"/>
</calcChain>
</file>

<file path=xl/sharedStrings.xml><?xml version="1.0" encoding="utf-8"?>
<sst xmlns="http://schemas.openxmlformats.org/spreadsheetml/2006/main" count="85" uniqueCount="82">
  <si>
    <r>
      <t xml:space="preserve">day1gain is PV(loan cashflows) - NNEG - Funding costs &amp; other expenses </t>
    </r>
    <r>
      <rPr>
        <sz val="12"/>
        <color theme="0" tint="-0.34998626667073579"/>
        <rFont val="Calibri (Body)"/>
      </rPr>
      <t xml:space="preserve">[- Cost of Capital ] </t>
    </r>
    <r>
      <rPr>
        <sz val="12"/>
        <color theme="1"/>
        <rFont val="Calibri"/>
        <family val="2"/>
        <scheme val="minor"/>
      </rPr>
      <t>- Loan</t>
    </r>
  </si>
  <si>
    <t>Inputs</t>
  </si>
  <si>
    <t>all are continuous, bar the loan accumulation rate that is annually compounding</t>
  </si>
  <si>
    <t>Python variable name</t>
  </si>
  <si>
    <t>RW house price inflation</t>
  </si>
  <si>
    <t>(-10% to 30%)</t>
  </si>
  <si>
    <t>rw_hpi</t>
  </si>
  <si>
    <t>deferment rate</t>
  </si>
  <si>
    <t>q</t>
  </si>
  <si>
    <t>(-10% to 10%)</t>
  </si>
  <si>
    <t>deferment_rate</t>
  </si>
  <si>
    <t>loan rate</t>
  </si>
  <si>
    <t>l</t>
  </si>
  <si>
    <t>(1% to 20%)</t>
  </si>
  <si>
    <t>loan_rate</t>
  </si>
  <si>
    <t>house price volatility*</t>
  </si>
  <si>
    <t>hpvol</t>
  </si>
  <si>
    <t>(1% to 30%)</t>
  </si>
  <si>
    <t>house_price_volatility</t>
  </si>
  <si>
    <t>house price at start</t>
  </si>
  <si>
    <t>S_0</t>
  </si>
  <si>
    <t>(50000 to 50000000)</t>
  </si>
  <si>
    <t>house_price_start</t>
  </si>
  <si>
    <t>time (years)</t>
  </si>
  <si>
    <t>t</t>
  </si>
  <si>
    <t>(1 to 50)</t>
  </si>
  <si>
    <t>time_years</t>
  </si>
  <si>
    <t>funding cost</t>
  </si>
  <si>
    <t>fc</t>
  </si>
  <si>
    <t>(0% to 20%)</t>
  </si>
  <si>
    <t>funding_cost</t>
  </si>
  <si>
    <t>loan amount</t>
  </si>
  <si>
    <t>(10000 up to the value of the house)</t>
  </si>
  <si>
    <t>loan_amount</t>
  </si>
  <si>
    <t>Cost of Capital</t>
  </si>
  <si>
    <t>(1% to 10%)</t>
  </si>
  <si>
    <t>coc_rate</t>
  </si>
  <si>
    <t>risk-free rate to t</t>
  </si>
  <si>
    <t>r</t>
  </si>
  <si>
    <t>(0.05% to 20%)</t>
  </si>
  <si>
    <t>risk_free_rate</t>
  </si>
  <si>
    <t>SCR level</t>
  </si>
  <si>
    <t>(50% to 99.99%)</t>
  </si>
  <si>
    <t>᾽scr_level</t>
  </si>
  <si>
    <t>SCR decay factor</t>
  </si>
  <si>
    <t>(3% to 25%)</t>
  </si>
  <si>
    <t xml:space="preserve"> (exponential decay is assumed for the SCR; simplistic example, a factor based example on the ERM portfolio cashflow profile could be used). </t>
  </si>
  <si>
    <t>scr_decay_factor</t>
  </si>
  <si>
    <t>drift of house price</t>
  </si>
  <si>
    <t>hpi</t>
  </si>
  <si>
    <t xml:space="preserve">*vol is assumed to be the same in real and risk-neutral world. </t>
  </si>
  <si>
    <t>LN(S_0)</t>
  </si>
  <si>
    <t>Calculations for the SCR</t>
  </si>
  <si>
    <t xml:space="preserve">drift of HPI, assuming BM: </t>
  </si>
  <si>
    <t>μ</t>
  </si>
  <si>
    <t>E[ln(S_t)]</t>
  </si>
  <si>
    <t>st dev</t>
  </si>
  <si>
    <t>σ</t>
  </si>
  <si>
    <t>SCR percentile</t>
  </si>
  <si>
    <t>LN(price_SCR)</t>
  </si>
  <si>
    <t>price</t>
  </si>
  <si>
    <t>accumul. Loan</t>
  </si>
  <si>
    <t>ln(accum. Loan)</t>
  </si>
  <si>
    <t>SCR</t>
  </si>
  <si>
    <t>SCR annuity factor</t>
  </si>
  <si>
    <t>CoC</t>
  </si>
  <si>
    <t>Calculations for day 1 gain</t>
  </si>
  <si>
    <t>drift of HPI assuming BM</t>
  </si>
  <si>
    <t>mu</t>
  </si>
  <si>
    <t>L_T*prob(S_T &gt; L_T) = E[S_T&gt;L_T]</t>
  </si>
  <si>
    <t>Fi( (lnL-mu-s_t^2) /s_t)</t>
  </si>
  <si>
    <t>(because S_t ~ logN)</t>
  </si>
  <si>
    <t>E[S_T | S_T&lt;L_T]</t>
  </si>
  <si>
    <t>E[min(S, L_low)]</t>
  </si>
  <si>
    <t>PV(E[min(S,L_T)]</t>
  </si>
  <si>
    <t>Funding cost</t>
  </si>
  <si>
    <t>Day 1 Gain</t>
  </si>
  <si>
    <t>Profit</t>
  </si>
  <si>
    <t>Profit at date of sale</t>
  </si>
  <si>
    <t>(these metrics are not part of the web tool)</t>
  </si>
  <si>
    <t xml:space="preserve">IRR -1 (1+profit/SCR)^(1/time) - 1 </t>
  </si>
  <si>
    <t>IRR - 2 ((expected income at sale + accum. SCR)/(loan + SCR))^(1/time)-1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</si>
</sst>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34998626667073579"/>
      <name val="Calibri (Body)"/>
    </font>
    <font>
      <sz val="12"/>
      <color rgb="FFFFFF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5" fillId="2" borderId="0" xfId="0" applyFont="1" applyFill="1"/>
    <xf numFmtId="10" fontId="5" fillId="2" borderId="0" xfId="0" applyNumberFormat="1" applyFont="1" applyFill="1"/>
    <xf numFmtId="0" fontId="0" fillId="0" borderId="0" xfId="0" quotePrefix="1"/>
    <xf numFmtId="9" fontId="0" fillId="0" borderId="0" xfId="0" applyNumberFormat="1"/>
    <xf numFmtId="164" fontId="5" fillId="2" borderId="0" xfId="1" applyNumberFormat="1" applyFont="1" applyFill="1"/>
    <xf numFmtId="10" fontId="3" fillId="3" borderId="0" xfId="0" applyNumberFormat="1" applyFont="1" applyFill="1"/>
    <xf numFmtId="0" fontId="2" fillId="0" borderId="0" xfId="0" applyFont="1"/>
    <xf numFmtId="10" fontId="0" fillId="0" borderId="0" xfId="0" applyNumberFormat="1"/>
    <xf numFmtId="43" fontId="0" fillId="0" borderId="0" xfId="1" applyFont="1"/>
    <xf numFmtId="165" fontId="0" fillId="0" borderId="0" xfId="1" applyNumberFormat="1" applyFont="1"/>
    <xf numFmtId="164" fontId="0" fillId="0" borderId="0" xfId="1" applyNumberFormat="1" applyFont="1"/>
    <xf numFmtId="43" fontId="0" fillId="0" borderId="0" xfId="0" applyNumberFormat="1"/>
    <xf numFmtId="43" fontId="2" fillId="0" borderId="0" xfId="1" applyFont="1"/>
    <xf numFmtId="10" fontId="2" fillId="0" borderId="0" xfId="2" applyNumberFormat="1" applyFont="1"/>
    <xf numFmtId="164" fontId="2" fillId="0" borderId="0" xfId="0" applyNumberFormat="1" applyFont="1"/>
    <xf numFmtId="10" fontId="0" fillId="0" borderId="0" xfId="2" applyNumberFormat="1" applyFont="1"/>
    <xf numFmtId="164" fontId="0" fillId="0" borderId="0" xfId="0" applyNumberFormat="1"/>
    <xf numFmtId="164" fontId="6" fillId="0" borderId="0" xfId="1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ikos/Documents/KnowledgeBase/EquityReleaseMortgages/ERM_Profitability.xlsx" TargetMode="External"/><Relationship Id="rId1" Type="http://schemas.openxmlformats.org/officeDocument/2006/relationships/externalLinkPath" Target="ERM_Profitabi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_play"/>
      <sheetName val="profit_play_checks"/>
      <sheetName val="erm_test_cases"/>
    </sheetNames>
    <sheetDataSet>
      <sheetData sheetId="0"/>
      <sheetData sheetId="1">
        <row r="4">
          <cell r="C4">
            <v>5</v>
          </cell>
        </row>
      </sheetData>
      <sheetData sheetId="2">
        <row r="3">
          <cell r="A3" t="str">
            <v>ScenarioID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FB55-A234-F745-9AC0-2139087D9E7D}">
  <dimension ref="A2:F69"/>
  <sheetViews>
    <sheetView tabSelected="1" workbookViewId="0">
      <selection activeCell="F25" sqref="F25"/>
    </sheetView>
  </sheetViews>
  <sheetFormatPr baseColWidth="10" defaultRowHeight="16" x14ac:dyDescent="0.2"/>
  <cols>
    <col min="1" max="1" width="27.6640625" customWidth="1"/>
    <col min="3" max="3" width="13.5" bestFit="1" customWidth="1"/>
    <col min="4" max="4" width="31.33203125" bestFit="1" customWidth="1"/>
  </cols>
  <sheetData>
    <row r="2" spans="1:6" x14ac:dyDescent="0.2">
      <c r="A2" t="s">
        <v>0</v>
      </c>
    </row>
    <row r="3" spans="1:6" x14ac:dyDescent="0.2">
      <c r="A3" s="1" t="s">
        <v>1</v>
      </c>
      <c r="C3" t="s">
        <v>2</v>
      </c>
      <c r="F3" t="s">
        <v>3</v>
      </c>
    </row>
    <row r="4" spans="1:6" x14ac:dyDescent="0.2">
      <c r="A4" t="s">
        <v>4</v>
      </c>
      <c r="C4" s="2">
        <v>0.02</v>
      </c>
      <c r="D4" t="s">
        <v>5</v>
      </c>
      <c r="F4" s="3" t="s">
        <v>6</v>
      </c>
    </row>
    <row r="5" spans="1:6" x14ac:dyDescent="0.2">
      <c r="A5" t="s">
        <v>7</v>
      </c>
      <c r="B5" t="s">
        <v>8</v>
      </c>
      <c r="C5" s="2">
        <v>3.5000000000000003E-2</v>
      </c>
      <c r="D5" t="s">
        <v>9</v>
      </c>
      <c r="F5" t="s">
        <v>10</v>
      </c>
    </row>
    <row r="6" spans="1:6" x14ac:dyDescent="0.2">
      <c r="A6" t="s">
        <v>11</v>
      </c>
      <c r="B6" t="s">
        <v>12</v>
      </c>
      <c r="C6" s="2">
        <v>0.121</v>
      </c>
      <c r="D6" t="s">
        <v>13</v>
      </c>
      <c r="F6" s="3" t="s">
        <v>14</v>
      </c>
    </row>
    <row r="7" spans="1:6" x14ac:dyDescent="0.2">
      <c r="A7" t="s">
        <v>15</v>
      </c>
      <c r="B7" t="s">
        <v>16</v>
      </c>
      <c r="C7" s="2">
        <v>0.13</v>
      </c>
      <c r="D7" s="4" t="s">
        <v>17</v>
      </c>
      <c r="F7" t="s">
        <v>18</v>
      </c>
    </row>
    <row r="8" spans="1:6" x14ac:dyDescent="0.2">
      <c r="A8" t="s">
        <v>19</v>
      </c>
      <c r="B8" t="s">
        <v>20</v>
      </c>
      <c r="C8" s="5">
        <v>100000</v>
      </c>
      <c r="D8" t="s">
        <v>21</v>
      </c>
      <c r="F8" t="s">
        <v>22</v>
      </c>
    </row>
    <row r="9" spans="1:6" x14ac:dyDescent="0.2">
      <c r="A9" t="s">
        <v>23</v>
      </c>
      <c r="B9" t="s">
        <v>24</v>
      </c>
      <c r="C9" s="1">
        <v>10</v>
      </c>
      <c r="D9" t="s">
        <v>25</v>
      </c>
      <c r="F9" s="3" t="s">
        <v>26</v>
      </c>
    </row>
    <row r="10" spans="1:6" x14ac:dyDescent="0.2">
      <c r="A10" t="s">
        <v>27</v>
      </c>
      <c r="B10" t="s">
        <v>28</v>
      </c>
      <c r="C10" s="2">
        <v>0.02</v>
      </c>
      <c r="D10" t="s">
        <v>29</v>
      </c>
      <c r="F10" t="s">
        <v>30</v>
      </c>
    </row>
    <row r="11" spans="1:6" x14ac:dyDescent="0.2">
      <c r="A11" t="s">
        <v>31</v>
      </c>
      <c r="C11" s="5">
        <v>60000</v>
      </c>
      <c r="D11" t="s">
        <v>32</v>
      </c>
      <c r="F11" s="3" t="s">
        <v>33</v>
      </c>
    </row>
    <row r="12" spans="1:6" x14ac:dyDescent="0.2">
      <c r="A12" t="s">
        <v>34</v>
      </c>
      <c r="C12" s="2">
        <v>4.4999999999999998E-2</v>
      </c>
      <c r="D12" t="s">
        <v>35</v>
      </c>
      <c r="F12" t="s">
        <v>36</v>
      </c>
    </row>
    <row r="13" spans="1:6" x14ac:dyDescent="0.2">
      <c r="A13" t="s">
        <v>37</v>
      </c>
      <c r="B13" t="s">
        <v>38</v>
      </c>
      <c r="C13" s="2">
        <v>4.4999999999999998E-2</v>
      </c>
      <c r="D13" t="s">
        <v>39</v>
      </c>
      <c r="F13" t="s">
        <v>40</v>
      </c>
    </row>
    <row r="14" spans="1:6" x14ac:dyDescent="0.2">
      <c r="A14" t="s">
        <v>41</v>
      </c>
      <c r="C14" s="2">
        <v>0.995</v>
      </c>
      <c r="D14" t="s">
        <v>42</v>
      </c>
      <c r="F14" t="s">
        <v>43</v>
      </c>
    </row>
    <row r="15" spans="1:6" x14ac:dyDescent="0.2">
      <c r="A15" t="s">
        <v>44</v>
      </c>
      <c r="C15" s="2">
        <v>0.12</v>
      </c>
      <c r="D15" t="s">
        <v>45</v>
      </c>
      <c r="E15" t="s">
        <v>46</v>
      </c>
      <c r="F15" s="3" t="s">
        <v>47</v>
      </c>
    </row>
    <row r="17" spans="1:4" x14ac:dyDescent="0.2">
      <c r="A17" t="s">
        <v>48</v>
      </c>
      <c r="B17" t="s">
        <v>49</v>
      </c>
      <c r="C17" s="6">
        <f>riskfree-q</f>
        <v>9.999999999999995E-3</v>
      </c>
    </row>
    <row r="18" spans="1:4" x14ac:dyDescent="0.2">
      <c r="A18" t="s">
        <v>50</v>
      </c>
    </row>
    <row r="19" spans="1:4" x14ac:dyDescent="0.2">
      <c r="C19" s="4"/>
    </row>
    <row r="20" spans="1:4" x14ac:dyDescent="0.2">
      <c r="A20" t="s">
        <v>51</v>
      </c>
      <c r="C20">
        <f>LN(S_0)</f>
        <v>11.512925464970229</v>
      </c>
    </row>
    <row r="21" spans="1:4" x14ac:dyDescent="0.2">
      <c r="C21" s="4"/>
    </row>
    <row r="22" spans="1:4" x14ac:dyDescent="0.2">
      <c r="A22" s="7" t="s">
        <v>52</v>
      </c>
      <c r="C22" s="4"/>
    </row>
    <row r="23" spans="1:4" x14ac:dyDescent="0.2">
      <c r="A23" t="s">
        <v>53</v>
      </c>
      <c r="B23" t="s">
        <v>54</v>
      </c>
      <c r="C23" s="8">
        <f>(hpi-0.5*hpvol^2)*time</f>
        <v>0.11549999999999999</v>
      </c>
    </row>
    <row r="24" spans="1:4" x14ac:dyDescent="0.2">
      <c r="A24" t="s">
        <v>55</v>
      </c>
      <c r="C24" s="9">
        <f>C20+C23</f>
        <v>11.628425464970229</v>
      </c>
    </row>
    <row r="25" spans="1:4" x14ac:dyDescent="0.2">
      <c r="A25" t="s">
        <v>56</v>
      </c>
      <c r="B25" t="s">
        <v>57</v>
      </c>
      <c r="C25" s="9">
        <f>SQRT(time)*hpvol</f>
        <v>0.41109609582188933</v>
      </c>
    </row>
    <row r="26" spans="1:4" x14ac:dyDescent="0.2">
      <c r="A26" t="s">
        <v>58</v>
      </c>
      <c r="C26" s="10">
        <f>NORMINV(1-SCR_pc,0,1)</f>
        <v>-2.5758293035488999</v>
      </c>
    </row>
    <row r="27" spans="1:4" x14ac:dyDescent="0.2">
      <c r="A27" t="s">
        <v>59</v>
      </c>
      <c r="C27" s="9">
        <f>C24+C25*C26</f>
        <v>10.569512094777661</v>
      </c>
    </row>
    <row r="28" spans="1:4" x14ac:dyDescent="0.2">
      <c r="A28" t="s">
        <v>60</v>
      </c>
      <c r="C28" s="11">
        <f>EXP(C27)</f>
        <v>38929.675098316882</v>
      </c>
    </row>
    <row r="29" spans="1:4" x14ac:dyDescent="0.2">
      <c r="C29" s="4"/>
    </row>
    <row r="30" spans="1:4" x14ac:dyDescent="0.2">
      <c r="A30" t="s">
        <v>61</v>
      </c>
      <c r="C30" s="11">
        <f>(1+C6)^time*loan</f>
        <v>188021.44079750153</v>
      </c>
    </row>
    <row r="31" spans="1:4" x14ac:dyDescent="0.2">
      <c r="A31" t="s">
        <v>62</v>
      </c>
      <c r="C31">
        <f>LN(C30)</f>
        <v>12.144311282104466</v>
      </c>
    </row>
    <row r="32" spans="1:4" x14ac:dyDescent="0.2">
      <c r="A32" t="s">
        <v>63</v>
      </c>
      <c r="C32" s="11">
        <f>MAX(0,C30-C28)</f>
        <v>149091.76569918465</v>
      </c>
      <c r="D32" s="11"/>
    </row>
    <row r="33" spans="1:4" x14ac:dyDescent="0.2">
      <c r="A33" t="s">
        <v>64</v>
      </c>
      <c r="C33" s="11">
        <f>(EXP(-lambda)/(1+riskfree))*(1-(EXP(-lambda)/(1+riskfree))^time)/(1-EXP(-lambda)/(1+riskfree))</f>
        <v>4.5224354501457924</v>
      </c>
    </row>
    <row r="34" spans="1:4" x14ac:dyDescent="0.2">
      <c r="A34" t="s">
        <v>65</v>
      </c>
      <c r="C34" s="11">
        <f>C33*C32*CoC</f>
        <v>30341.604893527041</v>
      </c>
      <c r="D34" s="11"/>
    </row>
    <row r="35" spans="1:4" x14ac:dyDescent="0.2">
      <c r="C35" s="4"/>
    </row>
    <row r="36" spans="1:4" x14ac:dyDescent="0.2">
      <c r="A36" s="7" t="s">
        <v>66</v>
      </c>
      <c r="C36" s="4"/>
    </row>
    <row r="37" spans="1:4" x14ac:dyDescent="0.2">
      <c r="A37" t="s">
        <v>67</v>
      </c>
      <c r="C37">
        <f>(hdrift-0.5*hpvol^2)*time</f>
        <v>1.5499999999999941E-2</v>
      </c>
    </row>
    <row r="38" spans="1:4" x14ac:dyDescent="0.2">
      <c r="A38" t="s">
        <v>68</v>
      </c>
      <c r="C38">
        <f>C20+C37</f>
        <v>11.528425464970228</v>
      </c>
    </row>
    <row r="39" spans="1:4" x14ac:dyDescent="0.2">
      <c r="A39" t="s">
        <v>56</v>
      </c>
      <c r="C39" s="12">
        <f>C25</f>
        <v>0.41109609582188933</v>
      </c>
    </row>
    <row r="40" spans="1:4" x14ac:dyDescent="0.2">
      <c r="C40" s="4"/>
    </row>
    <row r="41" spans="1:4" x14ac:dyDescent="0.2">
      <c r="A41" t="s">
        <v>69</v>
      </c>
      <c r="C41">
        <f>C30*(1-_xlfn.NORM.DIST((LN(C30)-mu)/sigma,0,1,TRUE))</f>
        <v>12606.169383502815</v>
      </c>
    </row>
    <row r="42" spans="1:4" x14ac:dyDescent="0.2">
      <c r="A42" t="s">
        <v>70</v>
      </c>
      <c r="C42">
        <f>_xlfn.NORM.DIST((LN(C30)-mu-sigma^2)/sigma,0,1,TRUE)</f>
        <v>0.86149468917170235</v>
      </c>
      <c r="D42" t="s">
        <v>71</v>
      </c>
    </row>
    <row r="43" spans="1:4" x14ac:dyDescent="0.2">
      <c r="A43" t="s">
        <v>72</v>
      </c>
      <c r="C43">
        <f>EXP(mu+0.5*sigma^2)*C42</f>
        <v>95209.887654918493</v>
      </c>
    </row>
    <row r="45" spans="1:4" x14ac:dyDescent="0.2">
      <c r="A45" t="s">
        <v>73</v>
      </c>
      <c r="C45">
        <f>C41+C43</f>
        <v>107816.05703842131</v>
      </c>
    </row>
    <row r="46" spans="1:4" x14ac:dyDescent="0.2">
      <c r="A46" t="s">
        <v>74</v>
      </c>
      <c r="C46">
        <f>C45*EXP(-riskfree*time)</f>
        <v>68746.553164556259</v>
      </c>
    </row>
    <row r="47" spans="1:4" x14ac:dyDescent="0.2">
      <c r="C47" s="11"/>
    </row>
    <row r="48" spans="1:4" x14ac:dyDescent="0.2">
      <c r="A48" t="s">
        <v>75</v>
      </c>
      <c r="C48">
        <f>fcost*loan</f>
        <v>1200</v>
      </c>
    </row>
    <row r="51" spans="1:5" x14ac:dyDescent="0.2">
      <c r="A51" s="7" t="s">
        <v>76</v>
      </c>
      <c r="B51" s="7"/>
      <c r="C51" s="13">
        <f>C46-loan-C48</f>
        <v>7546.5531645562587</v>
      </c>
      <c r="D51" s="14">
        <f>C51/loan</f>
        <v>0.12577588607593765</v>
      </c>
    </row>
    <row r="52" spans="1:5" x14ac:dyDescent="0.2">
      <c r="D52" s="11"/>
    </row>
    <row r="53" spans="1:5" x14ac:dyDescent="0.2">
      <c r="A53" s="7" t="s">
        <v>77</v>
      </c>
      <c r="B53" s="7"/>
      <c r="C53" s="15">
        <f>C51-C34</f>
        <v>-22795.051728970782</v>
      </c>
      <c r="D53" s="16">
        <f>C53/loan</f>
        <v>-0.37991752881617968</v>
      </c>
    </row>
    <row r="55" spans="1:5" x14ac:dyDescent="0.2">
      <c r="A55" t="s">
        <v>78</v>
      </c>
      <c r="C55" s="17">
        <f>C53*EXP(time*riskfree)</f>
        <v>-35749.757395423614</v>
      </c>
      <c r="D55" t="s">
        <v>79</v>
      </c>
    </row>
    <row r="57" spans="1:5" x14ac:dyDescent="0.2">
      <c r="A57" t="s">
        <v>80</v>
      </c>
      <c r="C57" s="16">
        <f>(1+C55/C32)^(1/time)-1</f>
        <v>-2.7042826208638071E-2</v>
      </c>
      <c r="D57" t="s">
        <v>79</v>
      </c>
      <c r="E57" s="11"/>
    </row>
    <row r="58" spans="1:5" x14ac:dyDescent="0.2">
      <c r="A58" t="s">
        <v>81</v>
      </c>
      <c r="C58" s="16">
        <f>((C45+C32*EXP(riskfree*time))/(loan+C32))^(1/time)-1</f>
        <v>5.0323267410656847E-2</v>
      </c>
      <c r="D58" t="s">
        <v>79</v>
      </c>
      <c r="E58" s="11"/>
    </row>
    <row r="59" spans="1:5" x14ac:dyDescent="0.2">
      <c r="E59" s="11"/>
    </row>
    <row r="60" spans="1:5" x14ac:dyDescent="0.2">
      <c r="C60" s="11"/>
      <c r="D60" s="11"/>
      <c r="E60" s="11"/>
    </row>
    <row r="61" spans="1:5" ht="24" x14ac:dyDescent="0.3">
      <c r="C61" s="18"/>
      <c r="D61" s="11"/>
      <c r="E61" s="11"/>
    </row>
    <row r="62" spans="1:5" x14ac:dyDescent="0.2">
      <c r="D62" s="16"/>
    </row>
    <row r="63" spans="1:5" x14ac:dyDescent="0.2">
      <c r="D63" s="16"/>
    </row>
    <row r="67" spans="3:3" x14ac:dyDescent="0.2">
      <c r="C67" s="12"/>
    </row>
    <row r="68" spans="3:3" x14ac:dyDescent="0.2">
      <c r="C68" s="12"/>
    </row>
    <row r="69" spans="3:3" x14ac:dyDescent="0.2">
      <c r="C6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profit_play</vt:lpstr>
      <vt:lpstr>profit_play!CoC</vt:lpstr>
      <vt:lpstr>profit_play!fcost</vt:lpstr>
      <vt:lpstr>profit_play!hdrift</vt:lpstr>
      <vt:lpstr>hpi</vt:lpstr>
      <vt:lpstr>profit_play!hpvol</vt:lpstr>
      <vt:lpstr>l</vt:lpstr>
      <vt:lpstr>lambda</vt:lpstr>
      <vt:lpstr>profit_play!loan</vt:lpstr>
      <vt:lpstr>profit_play!mu</vt:lpstr>
      <vt:lpstr>q</vt:lpstr>
      <vt:lpstr>profit_play!riskfree</vt:lpstr>
      <vt:lpstr>profit_play!S_0</vt:lpstr>
      <vt:lpstr>SCR_pc</vt:lpstr>
      <vt:lpstr>profit_play!sigma</vt:lpstr>
      <vt:lpstr>profit_play!time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 katrakis</dc:creator>
  <cp:lastModifiedBy>nikos katrakis</cp:lastModifiedBy>
  <dcterms:created xsi:type="dcterms:W3CDTF">2026-04-10T12:56:08Z</dcterms:created>
  <dcterms:modified xsi:type="dcterms:W3CDTF">2026-04-10T12:57:40Z</dcterms:modified>
</cp:coreProperties>
</file>